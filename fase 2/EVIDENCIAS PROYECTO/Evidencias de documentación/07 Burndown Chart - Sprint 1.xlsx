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CAMILA~1\AppData\Local\Temp\claude\C--Users-Camila-Castro-Desktop-RutaAlerta\52e9abe4-fd3b-4f62-8f66-e659972d1d9d\scratchpad\out\xlsx\"/>
    </mc:Choice>
  </mc:AlternateContent>
  <xr:revisionPtr revIDLastSave="0" documentId="8_{189BAB3B-6473-4ACD-8B84-76CBDEF320E6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Burndown" sheetId="1" r:id="rId1"/>
    <sheet name="Instruccione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35" i="1" l="1"/>
  <c r="P35" i="1"/>
  <c r="O35" i="1"/>
  <c r="N35" i="1"/>
  <c r="M35" i="1"/>
  <c r="L35" i="1"/>
  <c r="K35" i="1"/>
  <c r="J35" i="1"/>
  <c r="I35" i="1"/>
  <c r="H35" i="1"/>
  <c r="Q34" i="1"/>
  <c r="P34" i="1"/>
  <c r="O34" i="1"/>
  <c r="N34" i="1"/>
  <c r="M34" i="1"/>
  <c r="L34" i="1"/>
  <c r="K34" i="1"/>
  <c r="J34" i="1"/>
  <c r="I34" i="1"/>
  <c r="H34" i="1"/>
  <c r="G34" i="1"/>
  <c r="F34" i="1"/>
  <c r="E34" i="1"/>
  <c r="D34" i="1"/>
  <c r="C34" i="1"/>
  <c r="B34" i="1"/>
  <c r="D35" i="1" s="1"/>
  <c r="F35" i="1" l="1"/>
  <c r="E35" i="1"/>
  <c r="G35" i="1"/>
  <c r="B35" i="1"/>
  <c r="C35" i="1"/>
</calcChain>
</file>

<file path=xl/sharedStrings.xml><?xml version="1.0" encoding="utf-8"?>
<sst xmlns="http://schemas.openxmlformats.org/spreadsheetml/2006/main" count="48" uniqueCount="48">
  <si>
    <t>Complete solo las celdas verdes. Ver hoja "Instrucciones".</t>
  </si>
  <si>
    <t>Duración del sprint (días hábiles):</t>
  </si>
  <si>
    <t>Horas restantes al final de cada día →</t>
  </si>
  <si>
    <t>Tarea</t>
  </si>
  <si>
    <t>Horas estimadas</t>
  </si>
  <si>
    <t>Día 1</t>
  </si>
  <si>
    <t>Día 2</t>
  </si>
  <si>
    <t>Día 3</t>
  </si>
  <si>
    <t>Día 4</t>
  </si>
  <si>
    <t>Día 5</t>
  </si>
  <si>
    <t>Día 6</t>
  </si>
  <si>
    <t>Día 7</t>
  </si>
  <si>
    <t>Día 8</t>
  </si>
  <si>
    <t>Día 9</t>
  </si>
  <si>
    <t>Día 10</t>
  </si>
  <si>
    <t>Día 11</t>
  </si>
  <si>
    <t>Día 12</t>
  </si>
  <si>
    <t>Día 13</t>
  </si>
  <si>
    <t>Día 14</t>
  </si>
  <si>
    <t>Día 15</t>
  </si>
  <si>
    <t>Datos del gráfico (no modificar)</t>
  </si>
  <si>
    <t>Día</t>
  </si>
  <si>
    <t>Horas reales restantes</t>
  </si>
  <si>
    <t>Horas ideales restantes</t>
  </si>
  <si>
    <t>Cómo usar el Burndown Chart</t>
  </si>
  <si>
    <t>1. En la celda C3 indique cuántos días hábiles dura el sprint (1 a 15). El gráfico se ajusta solo.</t>
  </si>
  <si>
    <t>2. Copie las tareas del Sprint Backlog (planilla 05) en la columna A y sus horas estimadas en la columna B.</t>
  </si>
  <si>
    <t>3. Al final de cada día, registre en la columna de ese día las horas que FALTAN para terminar cada tarea (0 si está terminada).</t>
  </si>
  <si>
    <t>4. La línea "Horas ideales" muestra el ritmo esperado; la línea "Horas reales" muestra el avance real del equipo.</t>
  </si>
  <si>
    <t>5. Si la línea real queda sobre la ideal, el equipo va atrasado: coméntelo en el Daily Standup.</t>
  </si>
  <si>
    <t>6. Use una copia de este archivo por sprint e inserte el gráfico en el documento 08 Validación del Sprint.</t>
  </si>
  <si>
    <t>Burndown Chart – Sprint 1 (S10, 15/10/2026 – 21/10/2026)</t>
  </si>
  <si>
    <t>HT01-T1</t>
  </si>
  <si>
    <t>HT01-T2</t>
  </si>
  <si>
    <t>HT01-T3</t>
  </si>
  <si>
    <t>HT01-T4</t>
  </si>
  <si>
    <t>HT01-T5</t>
  </si>
  <si>
    <t>HT01-T6</t>
  </si>
  <si>
    <t>HU01-T1</t>
  </si>
  <si>
    <t>HU01-T2</t>
  </si>
  <si>
    <t>HU01-T3</t>
  </si>
  <si>
    <t>HU03-T1</t>
  </si>
  <si>
    <t>HU03-T2</t>
  </si>
  <si>
    <t>HU03-T3</t>
  </si>
  <si>
    <t>HU13-T1</t>
  </si>
  <si>
    <t>HU13-T2</t>
  </si>
  <si>
    <t>HU13-T3</t>
  </si>
  <si>
    <t>Horas restantes por día: completar al cierre de cada día real del sprint. El gráfico muestra por ahora sólo la línea ideal.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</si>
</sst>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4"/>
      <color rgb="FF1F3864"/>
      <name val="Calibri"/>
    </font>
    <font>
      <i/>
      <sz val="11"/>
      <color rgb="FF7F7F7F"/>
      <name val="Calibri"/>
    </font>
    <font>
      <b/>
      <sz val="11"/>
      <name val="Calibri"/>
    </font>
    <font>
      <i/>
      <sz val="9"/>
      <color rgb="FF595959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2EFDA"/>
      </patternFill>
    </fill>
    <fill>
      <patternFill patternType="solid">
        <fgColor rgb="FFD9E2F3"/>
      </patternFill>
    </fill>
  </fills>
  <borders count="2">
    <border>
      <left/>
      <right/>
      <top/>
      <bottom/>
      <diagonal/>
    </border>
    <border>
      <left style="thin">
        <color rgb="FF8EAADB"/>
      </left>
      <right style="thin">
        <color rgb="FF8EAADB"/>
      </right>
      <top style="thin">
        <color rgb="FF8EAADB"/>
      </top>
      <bottom style="thin">
        <color rgb="FF8EAADB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0" fillId="2" borderId="1" xfId="0" applyFill="1" applyBorder="1"/>
    <xf numFmtId="0" fontId="3" fillId="3" borderId="1" xfId="0" applyFont="1" applyFill="1" applyBorder="1" applyAlignment="1">
      <alignment horizontal="center" wrapText="1"/>
    </xf>
    <xf numFmtId="0" fontId="3" fillId="3" borderId="1" xfId="0" applyFont="1" applyFill="1" applyBorder="1"/>
    <xf numFmtId="0" fontId="0" fillId="0" borderId="1" xfId="0" applyBorder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/>
            </a:pPr>
            <a:r>
              <a:t>Burndown del sprint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Burndown!$A$34</c:f>
              <c:strCache>
                <c:ptCount val="1"/>
                <c:pt idx="0">
                  <c:v>Horas reales restantes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Burndown!$B$33:$Q$33</c:f>
              <c:numCache>
                <c:formatCode>General</c:formatCode>
                <c:ptCount val="1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</c:numCache>
            </c:numRef>
          </c:cat>
          <c:val>
            <c:numRef>
              <c:f>Burndown!$B$34:$Q$34</c:f>
              <c:numCache>
                <c:formatCode>General</c:formatCode>
                <c:ptCount val="16"/>
                <c:pt idx="0">
                  <c:v>46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0F97-487A-95A4-D88D014BBE5B}"/>
            </c:ext>
          </c:extLst>
        </c:ser>
        <c:ser>
          <c:idx val="1"/>
          <c:order val="1"/>
          <c:tx>
            <c:strRef>
              <c:f>Burndown!$A$35</c:f>
              <c:strCache>
                <c:ptCount val="1"/>
                <c:pt idx="0">
                  <c:v>Horas ideales restantes</c:v>
                </c:pt>
              </c:strCache>
            </c:strRef>
          </c:tx>
          <c:spPr>
            <a:ln>
              <a:prstDash val="dash"/>
            </a:ln>
          </c:spPr>
          <c:marker>
            <c:symbol val="none"/>
          </c:marker>
          <c:cat>
            <c:numRef>
              <c:f>Burndown!$B$33:$Q$33</c:f>
              <c:numCache>
                <c:formatCode>General</c:formatCode>
                <c:ptCount val="1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</c:numCache>
            </c:numRef>
          </c:cat>
          <c:val>
            <c:numRef>
              <c:f>Burndown!$B$35:$Q$35</c:f>
              <c:numCache>
                <c:formatCode>General</c:formatCode>
                <c:ptCount val="16"/>
                <c:pt idx="0">
                  <c:v>46</c:v>
                </c:pt>
                <c:pt idx="1">
                  <c:v>36.800000000000004</c:v>
                </c:pt>
                <c:pt idx="2">
                  <c:v>27.599999999999998</c:v>
                </c:pt>
                <c:pt idx="3">
                  <c:v>18.400000000000002</c:v>
                </c:pt>
                <c:pt idx="4">
                  <c:v>9.1999999999999975</c:v>
                </c:pt>
                <c:pt idx="5">
                  <c:v>0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0F97-487A-95A4-D88D014BBE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Día del sprint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Horas restantes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37</xdr:row>
      <xdr:rowOff>0</xdr:rowOff>
    </xdr:from>
    <xdr:ext cx="7200000" cy="324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5"/>
  <sheetViews>
    <sheetView tabSelected="1" workbookViewId="0">
      <pane xSplit="2" ySplit="5" topLeftCell="C6" activePane="bottomRight" state="frozen"/>
      <selection pane="topRight"/>
      <selection pane="bottomLeft"/>
      <selection pane="bottomRight"/>
    </sheetView>
  </sheetViews>
  <sheetFormatPr baseColWidth="10" defaultColWidth="9.06640625" defaultRowHeight="14.25" x14ac:dyDescent="0.45"/>
  <cols>
    <col min="1" max="1" width="26" customWidth="1"/>
    <col min="2" max="2" width="11" customWidth="1"/>
    <col min="3" max="17" width="7" customWidth="1"/>
  </cols>
  <sheetData>
    <row r="1" spans="1:17" ht="18" x14ac:dyDescent="0.55000000000000004">
      <c r="A1" s="1" t="s">
        <v>31</v>
      </c>
    </row>
    <row r="2" spans="1:17" x14ac:dyDescent="0.45">
      <c r="A2" s="2" t="s">
        <v>0</v>
      </c>
    </row>
    <row r="3" spans="1:17" x14ac:dyDescent="0.45">
      <c r="A3" s="3" t="s">
        <v>1</v>
      </c>
      <c r="C3" s="4">
        <v>5</v>
      </c>
    </row>
    <row r="4" spans="1:17" x14ac:dyDescent="0.45">
      <c r="C4" s="2" t="s">
        <v>2</v>
      </c>
    </row>
    <row r="5" spans="1:17" ht="28.5" x14ac:dyDescent="0.45">
      <c r="A5" s="5" t="s">
        <v>3</v>
      </c>
      <c r="B5" s="5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5" t="s">
        <v>10</v>
      </c>
      <c r="I5" s="5" t="s">
        <v>11</v>
      </c>
      <c r="J5" s="5" t="s">
        <v>12</v>
      </c>
      <c r="K5" s="5" t="s">
        <v>13</v>
      </c>
      <c r="L5" s="5" t="s">
        <v>14</v>
      </c>
      <c r="M5" s="5" t="s">
        <v>15</v>
      </c>
      <c r="N5" s="5" t="s">
        <v>16</v>
      </c>
      <c r="O5" s="5" t="s">
        <v>17</v>
      </c>
      <c r="P5" s="5" t="s">
        <v>18</v>
      </c>
      <c r="Q5" s="5" t="s">
        <v>19</v>
      </c>
    </row>
    <row r="6" spans="1:17" x14ac:dyDescent="0.45">
      <c r="A6" s="4" t="s">
        <v>32</v>
      </c>
      <c r="B6" s="4">
        <v>2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spans="1:17" x14ac:dyDescent="0.45">
      <c r="A7" s="4" t="s">
        <v>33</v>
      </c>
      <c r="B7" s="4">
        <v>4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</row>
    <row r="8" spans="1:17" x14ac:dyDescent="0.45">
      <c r="A8" s="4" t="s">
        <v>34</v>
      </c>
      <c r="B8" s="4">
        <v>3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</row>
    <row r="9" spans="1:17" x14ac:dyDescent="0.45">
      <c r="A9" s="4" t="s">
        <v>35</v>
      </c>
      <c r="B9" s="4">
        <v>3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</row>
    <row r="10" spans="1:17" x14ac:dyDescent="0.45">
      <c r="A10" s="4" t="s">
        <v>36</v>
      </c>
      <c r="B10" s="4">
        <v>3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</row>
    <row r="11" spans="1:17" x14ac:dyDescent="0.45">
      <c r="A11" s="4" t="s">
        <v>37</v>
      </c>
      <c r="B11" s="4">
        <v>2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</row>
    <row r="12" spans="1:17" x14ac:dyDescent="0.45">
      <c r="A12" s="4" t="s">
        <v>38</v>
      </c>
      <c r="B12" s="4">
        <v>4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</row>
    <row r="13" spans="1:17" x14ac:dyDescent="0.45">
      <c r="A13" s="4" t="s">
        <v>39</v>
      </c>
      <c r="B13" s="4">
        <v>4</v>
      </c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</row>
    <row r="14" spans="1:17" x14ac:dyDescent="0.45">
      <c r="A14" s="4" t="s">
        <v>40</v>
      </c>
      <c r="B14" s="4">
        <v>2</v>
      </c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</row>
    <row r="15" spans="1:17" x14ac:dyDescent="0.45">
      <c r="A15" s="4" t="s">
        <v>41</v>
      </c>
      <c r="B15" s="4">
        <v>4</v>
      </c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</row>
    <row r="16" spans="1:17" x14ac:dyDescent="0.45">
      <c r="A16" s="4" t="s">
        <v>42</v>
      </c>
      <c r="B16" s="4">
        <v>5</v>
      </c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</row>
    <row r="17" spans="1:17" x14ac:dyDescent="0.45">
      <c r="A17" s="4" t="s">
        <v>43</v>
      </c>
      <c r="B17" s="4">
        <v>2</v>
      </c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</row>
    <row r="18" spans="1:17" x14ac:dyDescent="0.45">
      <c r="A18" s="4" t="s">
        <v>44</v>
      </c>
      <c r="B18" s="4">
        <v>2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</row>
    <row r="19" spans="1:17" x14ac:dyDescent="0.45">
      <c r="A19" s="4" t="s">
        <v>45</v>
      </c>
      <c r="B19" s="4">
        <v>4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</row>
    <row r="20" spans="1:17" x14ac:dyDescent="0.45">
      <c r="A20" s="4" t="s">
        <v>46</v>
      </c>
      <c r="B20" s="4">
        <v>2</v>
      </c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</row>
    <row r="21" spans="1:17" x14ac:dyDescent="0.45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</row>
    <row r="22" spans="1:17" x14ac:dyDescent="0.45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</row>
    <row r="23" spans="1:17" x14ac:dyDescent="0.45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</row>
    <row r="24" spans="1:17" x14ac:dyDescent="0.45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</row>
    <row r="25" spans="1:17" x14ac:dyDescent="0.4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</row>
    <row r="26" spans="1:17" x14ac:dyDescent="0.45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</row>
    <row r="27" spans="1:17" x14ac:dyDescent="0.45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</row>
    <row r="28" spans="1:17" x14ac:dyDescent="0.45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</row>
    <row r="29" spans="1:17" x14ac:dyDescent="0.45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</row>
    <row r="30" spans="1:17" x14ac:dyDescent="0.45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</row>
    <row r="31" spans="1:17" x14ac:dyDescent="0.45">
      <c r="A31" s="8" t="s">
        <v>47</v>
      </c>
    </row>
    <row r="32" spans="1:17" x14ac:dyDescent="0.45">
      <c r="A32" s="3" t="s">
        <v>20</v>
      </c>
    </row>
    <row r="33" spans="1:17" x14ac:dyDescent="0.45">
      <c r="A33" s="6" t="s">
        <v>21</v>
      </c>
      <c r="B33" s="7">
        <v>0</v>
      </c>
      <c r="C33" s="7">
        <v>1</v>
      </c>
      <c r="D33" s="7">
        <v>2</v>
      </c>
      <c r="E33" s="7">
        <v>3</v>
      </c>
      <c r="F33" s="7">
        <v>4</v>
      </c>
      <c r="G33" s="7">
        <v>5</v>
      </c>
      <c r="H33" s="7">
        <v>6</v>
      </c>
      <c r="I33" s="7">
        <v>7</v>
      </c>
      <c r="J33" s="7">
        <v>8</v>
      </c>
      <c r="K33" s="7">
        <v>9</v>
      </c>
      <c r="L33" s="7">
        <v>10</v>
      </c>
      <c r="M33" s="7">
        <v>11</v>
      </c>
      <c r="N33" s="7">
        <v>12</v>
      </c>
      <c r="O33" s="7">
        <v>13</v>
      </c>
      <c r="P33" s="7">
        <v>14</v>
      </c>
      <c r="Q33" s="7">
        <v>15</v>
      </c>
    </row>
    <row r="34" spans="1:17" x14ac:dyDescent="0.45">
      <c r="A34" s="6" t="s">
        <v>22</v>
      </c>
      <c r="B34" s="7">
        <f>SUM(B6:B30)</f>
        <v>46</v>
      </c>
      <c r="C34" s="7" t="e">
        <f>IF(1&gt;$C$3,NA(),IF(COUNT(C6:C30)=0,NA(),SUM(C6:C30)))</f>
        <v>#N/A</v>
      </c>
      <c r="D34" s="7" t="e">
        <f>IF(2&gt;$C$3,NA(),IF(COUNT(D6:D30)=0,NA(),SUM(D6:D30)))</f>
        <v>#N/A</v>
      </c>
      <c r="E34" s="7" t="e">
        <f>IF(3&gt;$C$3,NA(),IF(COUNT(E6:E30)=0,NA(),SUM(E6:E30)))</f>
        <v>#N/A</v>
      </c>
      <c r="F34" s="7" t="e">
        <f>IF(4&gt;$C$3,NA(),IF(COUNT(F6:F30)=0,NA(),SUM(F6:F30)))</f>
        <v>#N/A</v>
      </c>
      <c r="G34" s="7" t="e">
        <f>IF(5&gt;$C$3,NA(),IF(COUNT(G6:G30)=0,NA(),SUM(G6:G30)))</f>
        <v>#N/A</v>
      </c>
      <c r="H34" s="7" t="e">
        <f>IF(6&gt;$C$3,NA(),IF(COUNT(H6:H30)=0,NA(),SUM(H6:H30)))</f>
        <v>#N/A</v>
      </c>
      <c r="I34" s="7" t="e">
        <f>IF(7&gt;$C$3,NA(),IF(COUNT(I6:I30)=0,NA(),SUM(I6:I30)))</f>
        <v>#N/A</v>
      </c>
      <c r="J34" s="7" t="e">
        <f>IF(8&gt;$C$3,NA(),IF(COUNT(J6:J30)=0,NA(),SUM(J6:J30)))</f>
        <v>#N/A</v>
      </c>
      <c r="K34" s="7" t="e">
        <f>IF(9&gt;$C$3,NA(),IF(COUNT(K6:K30)=0,NA(),SUM(K6:K30)))</f>
        <v>#N/A</v>
      </c>
      <c r="L34" s="7" t="e">
        <f>IF(10&gt;$C$3,NA(),IF(COUNT(L6:L30)=0,NA(),SUM(L6:L30)))</f>
        <v>#N/A</v>
      </c>
      <c r="M34" s="7" t="e">
        <f>IF(11&gt;$C$3,NA(),IF(COUNT(M6:M30)=0,NA(),SUM(M6:M30)))</f>
        <v>#N/A</v>
      </c>
      <c r="N34" s="7" t="e">
        <f>IF(12&gt;$C$3,NA(),IF(COUNT(N6:N30)=0,NA(),SUM(N6:N30)))</f>
        <v>#N/A</v>
      </c>
      <c r="O34" s="7" t="e">
        <f>IF(13&gt;$C$3,NA(),IF(COUNT(O6:O30)=0,NA(),SUM(O6:O30)))</f>
        <v>#N/A</v>
      </c>
      <c r="P34" s="7" t="e">
        <f>IF(14&gt;$C$3,NA(),IF(COUNT(P6:P30)=0,NA(),SUM(P6:P30)))</f>
        <v>#N/A</v>
      </c>
      <c r="Q34" s="7" t="e">
        <f>IF(15&gt;$C$3,NA(),IF(COUNT(Q6:Q30)=0,NA(),SUM(Q6:Q30)))</f>
        <v>#N/A</v>
      </c>
    </row>
    <row r="35" spans="1:17" x14ac:dyDescent="0.45">
      <c r="A35" s="6" t="s">
        <v>23</v>
      </c>
      <c r="B35" s="7">
        <f>IF(0&gt;$C$3,NA(),$B$34*(1-0/$C$3))</f>
        <v>46</v>
      </c>
      <c r="C35" s="7">
        <f>IF(1&gt;$C$3,NA(),$B$34*(1-1/$C$3))</f>
        <v>36.800000000000004</v>
      </c>
      <c r="D35" s="7">
        <f>IF(2&gt;$C$3,NA(),$B$34*(1-2/$C$3))</f>
        <v>27.599999999999998</v>
      </c>
      <c r="E35" s="7">
        <f>IF(3&gt;$C$3,NA(),$B$34*(1-3/$C$3))</f>
        <v>18.400000000000002</v>
      </c>
      <c r="F35" s="7">
        <f>IF(4&gt;$C$3,NA(),$B$34*(1-4/$C$3))</f>
        <v>9.1999999999999975</v>
      </c>
      <c r="G35" s="7">
        <f>IF(5&gt;$C$3,NA(),$B$34*(1-5/$C$3))</f>
        <v>0</v>
      </c>
      <c r="H35" s="7" t="e">
        <f>IF(6&gt;$C$3,NA(),$B$34*(1-6/$C$3))</f>
        <v>#N/A</v>
      </c>
      <c r="I35" s="7" t="e">
        <f>IF(7&gt;$C$3,NA(),$B$34*(1-7/$C$3))</f>
        <v>#N/A</v>
      </c>
      <c r="J35" s="7" t="e">
        <f>IF(8&gt;$C$3,NA(),$B$34*(1-8/$C$3))</f>
        <v>#N/A</v>
      </c>
      <c r="K35" s="7" t="e">
        <f>IF(9&gt;$C$3,NA(),$B$34*(1-9/$C$3))</f>
        <v>#N/A</v>
      </c>
      <c r="L35" s="7" t="e">
        <f>IF(10&gt;$C$3,NA(),$B$34*(1-10/$C$3))</f>
        <v>#N/A</v>
      </c>
      <c r="M35" s="7" t="e">
        <f>IF(11&gt;$C$3,NA(),$B$34*(1-11/$C$3))</f>
        <v>#N/A</v>
      </c>
      <c r="N35" s="7" t="e">
        <f>IF(12&gt;$C$3,NA(),$B$34*(1-12/$C$3))</f>
        <v>#N/A</v>
      </c>
      <c r="O35" s="7" t="e">
        <f>IF(13&gt;$C$3,NA(),$B$34*(1-13/$C$3))</f>
        <v>#N/A</v>
      </c>
      <c r="P35" s="7" t="e">
        <f>IF(14&gt;$C$3,NA(),$B$34*(1-14/$C$3))</f>
        <v>#N/A</v>
      </c>
      <c r="Q35" s="7" t="e">
        <f>IF(15&gt;$C$3,NA(),$B$34*(1-15/$C$3))</f>
        <v>#N/A</v>
      </c>
    </row>
  </sheetData>
  <dataValidations count="1">
    <dataValidation type="whole" showErrorMessage="1" error="Ingrese un número entre 1 y 15" sqref="C3" xr:uid="{00000000-0002-0000-0000-000000000000}">
      <formula1>1</formula1>
      <formula2>15</formula2>
    </dataValidation>
  </dataValidation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8"/>
  <sheetViews>
    <sheetView workbookViewId="0"/>
  </sheetViews>
  <sheetFormatPr baseColWidth="10" defaultColWidth="9.06640625" defaultRowHeight="14.25" x14ac:dyDescent="0.45"/>
  <cols>
    <col min="1" max="1" width="120" customWidth="1"/>
  </cols>
  <sheetData>
    <row r="1" spans="1:1" ht="18" x14ac:dyDescent="0.55000000000000004">
      <c r="A1" s="1" t="s">
        <v>24</v>
      </c>
    </row>
    <row r="3" spans="1:1" x14ac:dyDescent="0.45">
      <c r="A3" t="s">
        <v>25</v>
      </c>
    </row>
    <row r="4" spans="1:1" x14ac:dyDescent="0.45">
      <c r="A4" t="s">
        <v>26</v>
      </c>
    </row>
    <row r="5" spans="1:1" x14ac:dyDescent="0.45">
      <c r="A5" t="s">
        <v>27</v>
      </c>
    </row>
    <row r="6" spans="1:1" x14ac:dyDescent="0.45">
      <c r="A6" t="s">
        <v>28</v>
      </c>
    </row>
    <row r="7" spans="1:1" x14ac:dyDescent="0.45">
      <c r="A7" t="s">
        <v>29</v>
      </c>
    </row>
    <row r="8" spans="1:1" x14ac:dyDescent="0.45">
      <c r="A8" t="s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Burndown</vt:lpstr>
      <vt:lpstr>Instrucciones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JORGE . CEBALLOS SEGURA</cp:lastModifiedBy>
  <dcterms:created xsi:type="dcterms:W3CDTF">2026-10-01T19:20:25Z</dcterms:created>
  <dcterms:modified xsi:type="dcterms:W3CDTF">2026-10-14T13:51:01Z</dcterms:modified>
</cp:coreProperties>
</file>