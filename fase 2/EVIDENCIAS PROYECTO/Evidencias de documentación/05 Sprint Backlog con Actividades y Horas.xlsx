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amila Castro\AppData\Local\Temp\claude\C--Users-Camila-Castro-Desktop-RutaAlerta\52e9abe4-fd3b-4f62-8f66-e659972d1d9d\scratchpad\out\xlsx\"/>
    </mc:Choice>
  </mc:AlternateContent>
  <xr:revisionPtr revIDLastSave="0" documentId="8_{8F8D5ACF-90EF-4A8E-9E0C-B7C95F4956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duct_Backlog_tare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8" i="1"/>
  <c r="H7" i="1"/>
  <c r="C4" i="1"/>
  <c r="H11" i="1" s="1"/>
</calcChain>
</file>

<file path=xl/sharedStrings.xml><?xml version="1.0" encoding="utf-8"?>
<sst xmlns="http://schemas.openxmlformats.org/spreadsheetml/2006/main" count="77" uniqueCount="51">
  <si>
    <t>Tareas o actividad</t>
  </si>
  <si>
    <t>Id Historia</t>
  </si>
  <si>
    <t>Id Tarea</t>
  </si>
  <si>
    <t>Horas estimadas</t>
  </si>
  <si>
    <t>Total Horas:</t>
  </si>
  <si>
    <t xml:space="preserve">Resultado de la actividad Sprint Planning </t>
  </si>
  <si>
    <t>Sprint Backlog con estimación de tareas para las historia de usuario del Primer Sprint</t>
  </si>
  <si>
    <t>Sprint 1 · S10 · 15/10/2026 a 21/10/2026. Objetivo: Base técnica reproducible y primer recorrido persistente: el ciudadano crea su cuenta, reporta un incidente y obtiene folio; el operador lo ve en la bandeja de su organización. Propuesta para el Sprint Planning; capacidad supuesta 45 h (15 h por integrante).</t>
  </si>
  <si>
    <t>Responsable</t>
  </si>
  <si>
    <t>HT01</t>
  </si>
  <si>
    <t>HT01-T1</t>
  </si>
  <si>
    <t>Estructura del repositorio (backend, movil, panel, db, docs), ramas y plantilla de pull request</t>
  </si>
  <si>
    <t>Alan Bravo</t>
  </si>
  <si>
    <t>HT01-T2</t>
  </si>
  <si>
    <t>docker-compose con PostgreSQL y PostGIS; aplicar 01, 02 y 06 y registrar resultado de 04 en servidor nativo</t>
  </si>
  <si>
    <t>HT01-T3</t>
  </si>
  <si>
    <t>Proyecto FastAPI base: configuración, conexión, /health y documentación OpenAPI</t>
  </si>
  <si>
    <t>HT01-T4</t>
  </si>
  <si>
    <t>Proyecto Flutter base con navegación y cliente HTTP</t>
  </si>
  <si>
    <t>Juan Marinan</t>
  </si>
  <si>
    <t>HT01-T5</t>
  </si>
  <si>
    <t>Proyecto React base con inicio de sesión de operador y estructura de vistas</t>
  </si>
  <si>
    <t>Jorge Ceballos</t>
  </si>
  <si>
    <t>HT01-T6</t>
  </si>
  <si>
    <t>Integración continua en GitHub Actions: análisis estático y pytest</t>
  </si>
  <si>
    <t>HU01</t>
  </si>
  <si>
    <t>HU01-T1</t>
  </si>
  <si>
    <t>Endpoints de registro e inicio de sesión con contraseña cifrada y tokens con huella SHA-256</t>
  </si>
  <si>
    <t>HU01-T2</t>
  </si>
  <si>
    <t>Pantallas Flutter de registro e inicio de sesión con validaciones</t>
  </si>
  <si>
    <t>HU01-T3</t>
  </si>
  <si>
    <t>Pruebas unitarias de autenticación (CP40, CP41)</t>
  </si>
  <si>
    <t>HU03</t>
  </si>
  <si>
    <t>HU03-T1</t>
  </si>
  <si>
    <t>POST /casos con clave idempotente, folio, estado y ubicación con precisión</t>
  </si>
  <si>
    <t>HU03-T2</t>
  </si>
  <si>
    <t>Formulario Flutter de reporte: ubicación editable, hora, relato y estados borrador/enviado</t>
  </si>
  <si>
    <t>HU03-T3</t>
  </si>
  <si>
    <t>Pruebas de integración API–base de datos para folio e idempotencia (CP42, CP43)</t>
  </si>
  <si>
    <t>HU13</t>
  </si>
  <si>
    <t>HU13-T1</t>
  </si>
  <si>
    <t>GET /casos restringido a la organización del operador, usando v_bandeja_institucional</t>
  </si>
  <si>
    <t>HU13-T2</t>
  </si>
  <si>
    <t>Vista React de bandeja con filtros de estado y prioridad</t>
  </si>
  <si>
    <t>HU13-T3</t>
  </si>
  <si>
    <t>Prueba de acceso denegado a caso de otra organización (CP44)</t>
  </si>
  <si>
    <t>Resumen de capacidad</t>
  </si>
  <si>
    <t>Horas</t>
  </si>
  <si>
    <t>Capacidad supuesta del equipo</t>
  </si>
  <si>
    <t>Compromiso / capacidad</t>
  </si>
  <si>
    <t>Si la capacidad real es menor, la HU13 pasa al Sprint 2 (decisión del Product Owner en el Sprint Planning).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</si>
</sst>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9"/>
      <color rgb="FF595959"/>
      <name val="Calibri"/>
      <family val="2"/>
      <scheme val="minor"/>
    </font>
    <font>
      <i/>
      <sz val="9"/>
      <color rgb="FF59595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0" fontId="0" fillId="0" borderId="1" xfId="0" applyBorder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zoomScale="80" zoomScaleNormal="80" workbookViewId="0"/>
  </sheetViews>
  <sheetFormatPr baseColWidth="10" defaultRowHeight="14.25" x14ac:dyDescent="0.45"/>
  <cols>
    <col min="1" max="1" width="17.796875" customWidth="1"/>
    <col min="2" max="2" width="12.59765625" customWidth="1"/>
    <col min="3" max="3" width="54.1328125" customWidth="1"/>
    <col min="4" max="4" width="22.19921875" customWidth="1"/>
    <col min="5" max="5" width="20.59765625" customWidth="1"/>
    <col min="7" max="7" width="34.59765625" customWidth="1"/>
    <col min="8" max="8" width="12.59765625" customWidth="1"/>
  </cols>
  <sheetData>
    <row r="1" spans="1:8" ht="21" x14ac:dyDescent="0.65">
      <c r="A1" s="2" t="s">
        <v>5</v>
      </c>
      <c r="B1" s="2"/>
    </row>
    <row r="2" spans="1:8" ht="21" x14ac:dyDescent="0.65">
      <c r="A2" s="2" t="s">
        <v>6</v>
      </c>
      <c r="B2" s="2"/>
    </row>
    <row r="3" spans="1:8" ht="21" x14ac:dyDescent="0.65">
      <c r="A3" s="8" t="s">
        <v>7</v>
      </c>
      <c r="B3" s="2"/>
    </row>
    <row r="4" spans="1:8" ht="31.25" customHeight="1" x14ac:dyDescent="0.7">
      <c r="A4" s="7" t="s">
        <v>4</v>
      </c>
      <c r="B4" s="7"/>
      <c r="C4" s="6">
        <f>SUM(D7:D80)</f>
        <v>46</v>
      </c>
    </row>
    <row r="6" spans="1:8" ht="41.45" customHeight="1" x14ac:dyDescent="0.55000000000000004">
      <c r="A6" s="3" t="s">
        <v>1</v>
      </c>
      <c r="B6" s="3" t="s">
        <v>2</v>
      </c>
      <c r="C6" s="4" t="s">
        <v>0</v>
      </c>
      <c r="D6" s="4" t="s">
        <v>3</v>
      </c>
      <c r="E6" s="4" t="s">
        <v>8</v>
      </c>
      <c r="G6" s="4" t="s">
        <v>46</v>
      </c>
      <c r="H6" s="4" t="s">
        <v>47</v>
      </c>
    </row>
    <row r="7" spans="1:8" ht="28.5" x14ac:dyDescent="0.45">
      <c r="A7" s="9" t="s">
        <v>9</v>
      </c>
      <c r="B7" s="9" t="s">
        <v>10</v>
      </c>
      <c r="C7" s="9" t="s">
        <v>11</v>
      </c>
      <c r="D7" s="9">
        <v>2</v>
      </c>
      <c r="E7" s="9" t="s">
        <v>12</v>
      </c>
      <c r="G7" s="9" t="s">
        <v>22</v>
      </c>
      <c r="H7" s="9">
        <f>SUMIF(E7:E21,G7,D7:D21)</f>
        <v>15</v>
      </c>
    </row>
    <row r="8" spans="1:8" ht="28.5" x14ac:dyDescent="0.45">
      <c r="A8" s="9" t="s">
        <v>9</v>
      </c>
      <c r="B8" s="9" t="s">
        <v>13</v>
      </c>
      <c r="C8" s="9" t="s">
        <v>14</v>
      </c>
      <c r="D8" s="9">
        <v>4</v>
      </c>
      <c r="E8" s="9" t="s">
        <v>12</v>
      </c>
      <c r="G8" s="9" t="s">
        <v>19</v>
      </c>
      <c r="H8" s="9">
        <f>SUMIF(E7:E21,G8,D7:D21)</f>
        <v>14</v>
      </c>
    </row>
    <row r="9" spans="1:8" ht="28.5" x14ac:dyDescent="0.45">
      <c r="A9" s="9" t="s">
        <v>9</v>
      </c>
      <c r="B9" s="9" t="s">
        <v>15</v>
      </c>
      <c r="C9" s="9" t="s">
        <v>16</v>
      </c>
      <c r="D9" s="9">
        <v>3</v>
      </c>
      <c r="E9" s="9" t="s">
        <v>12</v>
      </c>
      <c r="G9" s="9" t="s">
        <v>12</v>
      </c>
      <c r="H9" s="9">
        <f>SUMIF(E7:E21,G9,D7:D21)</f>
        <v>17</v>
      </c>
    </row>
    <row r="10" spans="1:8" x14ac:dyDescent="0.45">
      <c r="A10" s="9" t="s">
        <v>9</v>
      </c>
      <c r="B10" s="9" t="s">
        <v>17</v>
      </c>
      <c r="C10" s="9" t="s">
        <v>18</v>
      </c>
      <c r="D10" s="9">
        <v>3</v>
      </c>
      <c r="E10" s="9" t="s">
        <v>19</v>
      </c>
      <c r="G10" s="9" t="s">
        <v>48</v>
      </c>
      <c r="H10" s="9">
        <v>45</v>
      </c>
    </row>
    <row r="11" spans="1:8" ht="28.5" x14ac:dyDescent="0.45">
      <c r="A11" s="9" t="s">
        <v>9</v>
      </c>
      <c r="B11" s="9" t="s">
        <v>20</v>
      </c>
      <c r="C11" s="9" t="s">
        <v>21</v>
      </c>
      <c r="D11" s="9">
        <v>3</v>
      </c>
      <c r="E11" s="9" t="s">
        <v>22</v>
      </c>
      <c r="G11" s="9" t="s">
        <v>49</v>
      </c>
      <c r="H11" s="9">
        <f>C4/H10</f>
        <v>1.0222222222222221</v>
      </c>
    </row>
    <row r="12" spans="1:8" x14ac:dyDescent="0.45">
      <c r="A12" s="9" t="s">
        <v>9</v>
      </c>
      <c r="B12" s="9" t="s">
        <v>23</v>
      </c>
      <c r="C12" s="9" t="s">
        <v>24</v>
      </c>
      <c r="D12" s="9">
        <v>2</v>
      </c>
      <c r="E12" s="9" t="s">
        <v>22</v>
      </c>
    </row>
    <row r="13" spans="1:8" ht="28.5" x14ac:dyDescent="0.45">
      <c r="A13" s="9" t="s">
        <v>25</v>
      </c>
      <c r="B13" s="9" t="s">
        <v>26</v>
      </c>
      <c r="C13" s="9" t="s">
        <v>27</v>
      </c>
      <c r="D13" s="9">
        <v>4</v>
      </c>
      <c r="E13" s="9" t="s">
        <v>12</v>
      </c>
      <c r="G13" s="10" t="s">
        <v>50</v>
      </c>
    </row>
    <row r="14" spans="1:8" x14ac:dyDescent="0.45">
      <c r="A14" s="9" t="s">
        <v>25</v>
      </c>
      <c r="B14" s="9" t="s">
        <v>28</v>
      </c>
      <c r="C14" s="9" t="s">
        <v>29</v>
      </c>
      <c r="D14" s="9">
        <v>4</v>
      </c>
      <c r="E14" s="9" t="s">
        <v>19</v>
      </c>
    </row>
    <row r="15" spans="1:8" x14ac:dyDescent="0.45">
      <c r="A15" s="9" t="s">
        <v>25</v>
      </c>
      <c r="B15" s="9" t="s">
        <v>30</v>
      </c>
      <c r="C15" s="9" t="s">
        <v>31</v>
      </c>
      <c r="D15" s="9">
        <v>2</v>
      </c>
      <c r="E15" s="9" t="s">
        <v>22</v>
      </c>
    </row>
    <row r="16" spans="1:8" ht="28.5" x14ac:dyDescent="0.45">
      <c r="A16" s="9" t="s">
        <v>32</v>
      </c>
      <c r="B16" s="9" t="s">
        <v>33</v>
      </c>
      <c r="C16" s="9" t="s">
        <v>34</v>
      </c>
      <c r="D16" s="9">
        <v>4</v>
      </c>
      <c r="E16" s="9" t="s">
        <v>12</v>
      </c>
    </row>
    <row r="17" spans="1:5" ht="28.5" x14ac:dyDescent="0.45">
      <c r="A17" s="9" t="s">
        <v>32</v>
      </c>
      <c r="B17" s="9" t="s">
        <v>35</v>
      </c>
      <c r="C17" s="9" t="s">
        <v>36</v>
      </c>
      <c r="D17" s="9">
        <v>5</v>
      </c>
      <c r="E17" s="9" t="s">
        <v>19</v>
      </c>
    </row>
    <row r="18" spans="1:5" ht="28.5" x14ac:dyDescent="0.45">
      <c r="A18" s="9" t="s">
        <v>32</v>
      </c>
      <c r="B18" s="9" t="s">
        <v>37</v>
      </c>
      <c r="C18" s="9" t="s">
        <v>38</v>
      </c>
      <c r="D18" s="9">
        <v>2</v>
      </c>
      <c r="E18" s="9" t="s">
        <v>19</v>
      </c>
    </row>
    <row r="19" spans="1:5" ht="28.5" x14ac:dyDescent="0.45">
      <c r="A19" s="9" t="s">
        <v>39</v>
      </c>
      <c r="B19" s="9" t="s">
        <v>40</v>
      </c>
      <c r="C19" s="9" t="s">
        <v>41</v>
      </c>
      <c r="D19" s="9">
        <v>2</v>
      </c>
      <c r="E19" s="9" t="s">
        <v>22</v>
      </c>
    </row>
    <row r="20" spans="1:5" x14ac:dyDescent="0.45">
      <c r="A20" s="9" t="s">
        <v>39</v>
      </c>
      <c r="B20" s="9" t="s">
        <v>42</v>
      </c>
      <c r="C20" s="9" t="s">
        <v>43</v>
      </c>
      <c r="D20" s="9">
        <v>4</v>
      </c>
      <c r="E20" s="9" t="s">
        <v>22</v>
      </c>
    </row>
    <row r="21" spans="1:5" x14ac:dyDescent="0.45">
      <c r="A21" s="9" t="s">
        <v>39</v>
      </c>
      <c r="B21" s="9" t="s">
        <v>44</v>
      </c>
      <c r="C21" s="9" t="s">
        <v>45</v>
      </c>
      <c r="D21" s="9">
        <v>2</v>
      </c>
      <c r="E21" s="9" t="s">
        <v>22</v>
      </c>
    </row>
    <row r="22" spans="1:5" ht="38.450000000000003" customHeight="1" x14ac:dyDescent="0.45">
      <c r="A22" s="1"/>
      <c r="B22" s="1"/>
      <c r="C22" s="1"/>
      <c r="D22" s="1"/>
    </row>
    <row r="23" spans="1:5" ht="38.450000000000003" customHeight="1" x14ac:dyDescent="0.45">
      <c r="A23" s="1"/>
      <c r="B23" s="1"/>
      <c r="C23" s="1"/>
      <c r="D23" s="1"/>
    </row>
    <row r="24" spans="1:5" ht="38.450000000000003" customHeight="1" x14ac:dyDescent="0.45">
      <c r="A24" s="1"/>
      <c r="B24" s="1"/>
      <c r="C24" s="1"/>
      <c r="D24" s="1"/>
    </row>
    <row r="25" spans="1:5" ht="38.450000000000003" customHeight="1" x14ac:dyDescent="0.45">
      <c r="A25" s="1"/>
      <c r="B25" s="1"/>
      <c r="C25" s="1"/>
      <c r="D25" s="1"/>
    </row>
    <row r="26" spans="1:5" ht="38.450000000000003" customHeight="1" x14ac:dyDescent="0.45">
      <c r="A26" s="1"/>
      <c r="B26" s="1"/>
      <c r="C26" s="1"/>
      <c r="D26" s="1"/>
    </row>
    <row r="27" spans="1:5" ht="38.450000000000003" customHeight="1" x14ac:dyDescent="0.45">
      <c r="A27" s="1"/>
      <c r="B27" s="1"/>
      <c r="C27" s="5"/>
      <c r="D27" s="1"/>
    </row>
    <row r="28" spans="1:5" ht="38.450000000000003" customHeight="1" x14ac:dyDescent="0.45">
      <c r="A28" s="1"/>
      <c r="B28" s="1"/>
      <c r="C28" s="1"/>
      <c r="D28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Product_Backlog_tareas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JORGE . CEBALLOS SEGURA</cp:lastModifiedBy>
  <dcterms:created xsi:type="dcterms:W3CDTF">2018-02-12T12:05:26Z</dcterms:created>
  <dcterms:modified xsi:type="dcterms:W3CDTF">2026-10-14T13:52:27Z</dcterms:modified>
</cp:coreProperties>
</file>