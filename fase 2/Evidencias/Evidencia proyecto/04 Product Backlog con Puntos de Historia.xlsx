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CAMILA~1\AppData\Local\Temp\claude\C--Users-Camila-Castro-Desktop-RutaAlerta\52e9abe4-fd3b-4f62-8f66-e659972d1d9d\scratchpad\out\xlsx\"/>
    </mc:Choice>
  </mc:AlternateContent>
  <xr:revisionPtr revIDLastSave="0" documentId="8_{526C2B04-A5D8-4171-A95F-DDD0799DC8F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roduct_Back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4" i="1" l="1"/>
  <c r="B43" i="1"/>
  <c r="B42" i="1"/>
  <c r="B41" i="1"/>
  <c r="B46" i="1" s="1"/>
  <c r="B4" i="1"/>
</calcChain>
</file>

<file path=xl/sharedStrings.xml><?xml version="1.0" encoding="utf-8"?>
<sst xmlns="http://schemas.openxmlformats.org/spreadsheetml/2006/main" count="250" uniqueCount="139">
  <si>
    <t>Product Backlog con estimación de historias</t>
  </si>
  <si>
    <t>Id</t>
  </si>
  <si>
    <t>Historia de Usuario</t>
  </si>
  <si>
    <t>Puntos de Historia Estimados</t>
  </si>
  <si>
    <t>Resultado de la actividad Planning Poker</t>
  </si>
  <si>
    <t>Total Puntos:</t>
  </si>
  <si>
    <t>RutaAlerta · Grupo 7 · 14/10/2026. Estimación preliminar en puntos (Fibonacci) propuesta para validar en Planning Poker; no corresponde a una sesión ya realizada. Ordenado por prioridad.</t>
  </si>
  <si>
    <t>Épica</t>
  </si>
  <si>
    <t>Prioridad (MoSCoW)</t>
  </si>
  <si>
    <t>Sprint propuesto</t>
  </si>
  <si>
    <t>Estado</t>
  </si>
  <si>
    <t>Trazabilidad (RF · CU · OE)</t>
  </si>
  <si>
    <t>HT01</t>
  </si>
  <si>
    <t>Como integrante del equipo de desarrollo, necesito contar con un repositorio estructurado, una base PostgreSQL/PostGIS levantada con Docker, la API base y la integración continua, con la finalidad de construir y probar cada incremento en un entorno reproducible y no sólo en el equipo de quien desarrolla.</t>
  </si>
  <si>
    <t>EP09 Habilitadores técnicos</t>
  </si>
  <si>
    <t>Must</t>
  </si>
  <si>
    <t>Sprint 1 (S10)</t>
  </si>
  <si>
    <t>Por hacer</t>
  </si>
  <si>
    <t>1 · — · —</t>
  </si>
  <si>
    <t>HU01</t>
  </si>
  <si>
    <t>Como ciudadano, necesito registrar mi cuenta, iniciar sesión y recuperar el acceso, con la finalidad de reportar incidentes y colaborar con mis datos protegidos.</t>
  </si>
  <si>
    <t>EP01 Cuentas, roles y vehículos</t>
  </si>
  <si>
    <t>1 · RF01 · CU01</t>
  </si>
  <si>
    <t>HU03</t>
  </si>
  <si>
    <t>Como ciudadano afectado por un robo o intento, necesito reportar el incidente indicando qué ocurrió, dónde y cuándo, con la finalidad de obtener un folio y un estado que confirmen que mi reporte fue recibido.</t>
  </si>
  <si>
    <t>EP02 Reporte de incidentes y evidencia</t>
  </si>
  <si>
    <t>1 · RF03 · CU03</t>
  </si>
  <si>
    <t>HU13</t>
  </si>
  <si>
    <t>Como operador institucional, necesito consultar la bandeja de casos de mi organización con filtros de estado y prioridad, con la finalidad de reunir rápidamente los antecedentes de cada caso.</t>
  </si>
  <si>
    <t>EP04 Gestión institucional del caso</t>
  </si>
  <si>
    <t>1 · RF13 · CU13</t>
  </si>
  <si>
    <t>HU02</t>
  </si>
  <si>
    <t>Como ciudadano, necesito registrar un vehículo con marca, modelo, patente y fotografías y solicitar su vínculo, con la finalidad de asociarlo a un reporte sin que conocer la patente otorgue acceso a terceros.</t>
  </si>
  <si>
    <t>Sprint 2 (S11)</t>
  </si>
  <si>
    <t>2 · RF02 · CU02</t>
  </si>
  <si>
    <t>HU04</t>
  </si>
  <si>
    <t>Como ciudadano, necesito adjuntar fotografías o videos al reporte o al avistamiento, con la finalidad de aportar antecedentes sin que el archivo quede público.</t>
  </si>
  <si>
    <t>2 · RF04 · CU04</t>
  </si>
  <si>
    <t>HU14</t>
  </si>
  <si>
    <t>Como operador institucional, necesito revisar avistamientos y posibles duplicados registrando decisión y motivo, con la finalidad de que sólo antecedentes revisados alimenten el caso.</t>
  </si>
  <si>
    <t>EP03 Colaboración ciudadana revisada</t>
  </si>
  <si>
    <t>2 · RF14 · CU14</t>
  </si>
  <si>
    <t>HU17</t>
  </si>
  <si>
    <t>Como operador institucional, necesito publicar, renovar o retirar una solicitud de colaboración con datos mínimos y vencimiento, con la finalidad de pedir ayuda ciudadana sin exponer información privada.</t>
  </si>
  <si>
    <t>2 · RF17 · CU17</t>
  </si>
  <si>
    <t>HT02</t>
  </si>
  <si>
    <t>Como integrante del equipo de desarrollo, necesito desplegar API, panel y base de datos en un entorno de piloto con secretos fuera del repositorio, con la finalidad de evaluar los objetivos OE2 a OE4 con la plataforma desplegada durante las semanas 13 y 14.</t>
  </si>
  <si>
    <t>Sprint 3 (S12)</t>
  </si>
  <si>
    <t>3 · — · —</t>
  </si>
  <si>
    <t>HU11</t>
  </si>
  <si>
    <t>Como ciudadano colaborador, necesito consultar el catálogo de solicitudes de colaboración vigentes, con la finalidad de reconocer un vehículo buscado y decidir si aporto.</t>
  </si>
  <si>
    <t>3 · RF11 · CU11</t>
  </si>
  <si>
    <t>HU05</t>
  </si>
  <si>
    <t>Como ciudadano colaborador, necesito informar un avistamiento con hora, lugar y observación sobre una solicitud vigente, con la finalidad de aportar un antecedente útil al caso sin perseguir el vehículo.</t>
  </si>
  <si>
    <t>3 · RF05 · CU05</t>
  </si>
  <si>
    <t>HU06</t>
  </si>
  <si>
    <t>Como persona afectada, necesito consultar el estado de mi caso, el siguiente paso y un canal de apoyo, con la finalidad de saber qué ocurre con mi reporte sin tener que buscar el vehículo.</t>
  </si>
  <si>
    <t>EP05 Seguimiento y apoyo al afectado</t>
  </si>
  <si>
    <t>3 · RF06 · CU06</t>
  </si>
  <si>
    <t>HU07</t>
  </si>
  <si>
    <t>Como persona afectada, necesito otorgar y revocar acceso a un contacto de confianza, con la finalidad de compartir el seguimiento con alguien de confianza y controlar ese acceso.</t>
  </si>
  <si>
    <t>3 · RF07 · CU07</t>
  </si>
  <si>
    <t>HU16</t>
  </si>
  <si>
    <t>Como operador institucional, necesito registrar gestiones, derivaciones y el cierre del caso con motivo, con la finalidad de dejar trazabilidad de lo realizado y comunicar el avance al afectado.</t>
  </si>
  <si>
    <t>Sprint 4 (S13)</t>
  </si>
  <si>
    <t>4 · RF16 · CU16</t>
  </si>
  <si>
    <t>HU15</t>
  </si>
  <si>
    <t>Como supervisor, necesito asignar un responsable de mi organización a un caso, con la finalidad de que cada caso tenga una persona a cargo.</t>
  </si>
  <si>
    <t>4 · RF15 · CU15</t>
  </si>
  <si>
    <t>HU22</t>
  </si>
  <si>
    <t>Como administrador, necesito mantener canales de apoyo verificados con territorio y fecha de revisión, con la finalidad de orientar a la persona afectada con información vigente.</t>
  </si>
  <si>
    <t>4 · RF22 · CU22</t>
  </si>
  <si>
    <t>HU08</t>
  </si>
  <si>
    <t>Como ciudadano, necesito consultar antecedentes territoriales agregados con fuente y fecha, con la finalidad de tomar decisiones preventivas informadas.</t>
  </si>
  <si>
    <t>EP06 Orientación territorial y trayectos</t>
  </si>
  <si>
    <t>Should</t>
  </si>
  <si>
    <t>Por planificar (S13 si hay capacidad)</t>
  </si>
  <si>
    <t>None · RF08 · CU08</t>
  </si>
  <si>
    <t>HU12</t>
  </si>
  <si>
    <t>Como ciudadano, necesito configurar canales de aviso, horarios y consentimientos, con la finalidad de controlar qué avisos recibo y qué datos autorizo.</t>
  </si>
  <si>
    <t>None · RF12 · CU12</t>
  </si>
  <si>
    <t>HU18</t>
  </si>
  <si>
    <t>Como operador institucional, necesito consultar indicadores con período, filtros, numerador y denominador y exportarlos, con la finalidad de interpretar correctamente la información y su procedencia.</t>
  </si>
  <si>
    <t>EP07 Indicadores y evaluación del piloto</t>
  </si>
  <si>
    <t>None · RF18 · CU18</t>
  </si>
  <si>
    <t>HU19</t>
  </si>
  <si>
    <t>Como administrador, necesito conceder y revocar roles y membresías institucionales, con la finalidad de que sólo personas autorizadas operen casos.</t>
  </si>
  <si>
    <t>None · RF19 · CU19</t>
  </si>
  <si>
    <t>HU20</t>
  </si>
  <si>
    <t>Como administrador, necesito registrar fuentes históricas y cargar lotes para revisión, con la finalidad de usar datos territoriales con procedencia documentada.</t>
  </si>
  <si>
    <t>None · RF20 · CU20</t>
  </si>
  <si>
    <t>HU21</t>
  </si>
  <si>
    <t>Como administrador, necesito consolidar duplicados y revisar precisión de hechos territoriales, con la finalidad de que un mismo hecho no se cuente dos veces en el mapa.</t>
  </si>
  <si>
    <t>None · RF21 · CU21</t>
  </si>
  <si>
    <t>HU23</t>
  </si>
  <si>
    <t>Como administrador, necesito consultar la auditoría por actor, objeto y fecha, con la finalidad de revisar lo ocurrido sin poder modificar el historial.</t>
  </si>
  <si>
    <t>None · RF23 · CU23</t>
  </si>
  <si>
    <t>HU24</t>
  </si>
  <si>
    <t>Como evaluador, necesito ejecutar escenarios versionados y registrar tiempos, aciertos y fallos, con la finalidad de medir los objetivos con datos trazables.</t>
  </si>
  <si>
    <t>None · RF24 · CU24</t>
  </si>
  <si>
    <t>HU09</t>
  </si>
  <si>
    <t>Como ciudadano, necesito comparar alternativas de ruta con explicación de factores, con la finalidad de elegir un trayecto con información comprensible.</t>
  </si>
  <si>
    <t>Could</t>
  </si>
  <si>
    <t>Release posterior / según acuerdo docente</t>
  </si>
  <si>
    <t>None · RF09 · CU09</t>
  </si>
  <si>
    <t>HU10</t>
  </si>
  <si>
    <t>Como ciudadano, necesito iniciar y finalizar un trayecto con avisos, con la finalidad de recibir información relevante sólo cuando lo consiento.</t>
  </si>
  <si>
    <t>None · RF10 · CU10</t>
  </si>
  <si>
    <t>HU25</t>
  </si>
  <si>
    <t>Como ciudadano con trayecto activo, necesito recibir un aviso territorial relevante con fecha y fuente, con la finalidad de considerar antecedentes cercanos durante el trayecto.</t>
  </si>
  <si>
    <t>None · RF25 · CU25</t>
  </si>
  <si>
    <t>HU26</t>
  </si>
  <si>
    <t>Como administrador, necesito registrar y deshabilitar cámaras autorizadas por organización, con la finalidad de que sólo se consulten recursos con autorización documentada.</t>
  </si>
  <si>
    <t>EP08 Búsqueda asistida: cámaras e IA (ampliación)</t>
  </si>
  <si>
    <t>Won't</t>
  </si>
  <si>
    <t>Fuera de esta entrega (requiere ratificación)</t>
  </si>
  <si>
    <t>None · RF26 · CU26</t>
  </si>
  <si>
    <t>HU27</t>
  </si>
  <si>
    <t>Como operador institucional, necesito consultar video autorizado de una cámara para un caso, con la finalidad de buscar evidencia distinguiendo vivo, grabado y simulado.</t>
  </si>
  <si>
    <t>None · RF27 · CU27</t>
  </si>
  <si>
    <t>HU28</t>
  </si>
  <si>
    <t>Como operador institucional, necesito generar corredores posibles desde una observación ancla, con la finalidad de priorizar qué cámaras e intervalos revisar.</t>
  </si>
  <si>
    <t>None · RF28 · CU28</t>
  </si>
  <si>
    <t>HU29</t>
  </si>
  <si>
    <t>Como operador institucional, necesito comparar candidatos visuales con una imagen de referencia autorizada, con la finalidad de reducir la revisión manual sin confirmar identidades automáticamente.</t>
  </si>
  <si>
    <t>None · RF29 · CU29</t>
  </si>
  <si>
    <t>HU30</t>
  </si>
  <si>
    <t>Como operador institucional, necesito consultar al copiloto del caso, con la finalidad de obtener un resumen con referencias verificables.</t>
  </si>
  <si>
    <t>None · RF30 · CU30</t>
  </si>
  <si>
    <t>HU31</t>
  </si>
  <si>
    <t>Como operador institucional, necesito aceptar, descartar o dejar indeterminada una recomendación con motivo, con la finalidad de mantener la decisión humana y su historial.</t>
  </si>
  <si>
    <t>None · RF31 · CU31</t>
  </si>
  <si>
    <t>Puntos Must (MVP)</t>
  </si>
  <si>
    <t>Puntos Should</t>
  </si>
  <si>
    <t>Puntos Could</t>
  </si>
  <si>
    <t>Puntos Won't (fuera de esta entrega)</t>
  </si>
  <si>
    <t>Velocidad supuesta por sprint (puntos)</t>
  </si>
  <si>
    <t>Sprints necesarios para el alcance Must</t>
  </si>
  <si>
    <t>La velocidad es un supuesto sin historial (26 puntos ≈ 46 h del Sprint 1). Se recalcula con la velocidad real al cerrar cada sprint.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</si>
</sst>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9"/>
      <color rgb="FF595959"/>
      <name val="Calibri"/>
      <family val="2"/>
      <scheme val="minor"/>
    </font>
    <font>
      <i/>
      <sz val="9"/>
      <color rgb="FF59595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4" fillId="0" borderId="0" xfId="0" applyFont="1"/>
    <xf numFmtId="0" fontId="7" fillId="0" borderId="0" xfId="0" applyFont="1"/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6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tabSelected="1" zoomScale="80" zoomScaleNormal="80" workbookViewId="0"/>
  </sheetViews>
  <sheetFormatPr baseColWidth="10" defaultRowHeight="14.25" x14ac:dyDescent="0.45"/>
  <cols>
    <col min="1" max="1" width="17.796875" customWidth="1"/>
    <col min="2" max="2" width="54.1328125" customWidth="1"/>
    <col min="3" max="3" width="22.19921875" customWidth="1"/>
    <col min="4" max="4" width="30.59765625" customWidth="1"/>
    <col min="5" max="5" width="16.59765625" customWidth="1"/>
    <col min="6" max="6" width="26.59765625" customWidth="1"/>
    <col min="7" max="7" width="22.59765625" customWidth="1"/>
    <col min="8" max="8" width="30.59765625" customWidth="1"/>
  </cols>
  <sheetData>
    <row r="1" spans="1:8" ht="21" x14ac:dyDescent="0.65">
      <c r="A1" s="1" t="s">
        <v>4</v>
      </c>
    </row>
    <row r="2" spans="1:8" ht="21" x14ac:dyDescent="0.65">
      <c r="A2" s="1" t="s">
        <v>0</v>
      </c>
    </row>
    <row r="3" spans="1:8" x14ac:dyDescent="0.45">
      <c r="A3" s="6" t="s">
        <v>6</v>
      </c>
    </row>
    <row r="4" spans="1:8" ht="31.25" customHeight="1" x14ac:dyDescent="0.7">
      <c r="A4" s="5" t="s">
        <v>5</v>
      </c>
      <c r="B4" s="4">
        <f>SUM(C7:C80)</f>
        <v>226</v>
      </c>
    </row>
    <row r="6" spans="1:8" ht="41.45" customHeight="1" x14ac:dyDescent="0.55000000000000004">
      <c r="A6" s="2" t="s">
        <v>1</v>
      </c>
      <c r="B6" s="3" t="s">
        <v>2</v>
      </c>
      <c r="C6" s="3" t="s">
        <v>3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</row>
    <row r="7" spans="1:8" ht="71.25" x14ac:dyDescent="0.45">
      <c r="A7" s="7" t="s">
        <v>12</v>
      </c>
      <c r="B7" s="7" t="s">
        <v>13</v>
      </c>
      <c r="C7" s="7">
        <v>8</v>
      </c>
      <c r="D7" s="7" t="s">
        <v>14</v>
      </c>
      <c r="E7" s="7" t="s">
        <v>15</v>
      </c>
      <c r="F7" s="7" t="s">
        <v>16</v>
      </c>
      <c r="G7" s="7" t="s">
        <v>17</v>
      </c>
      <c r="H7" s="7" t="s">
        <v>18</v>
      </c>
    </row>
    <row r="8" spans="1:8" ht="42.75" x14ac:dyDescent="0.45">
      <c r="A8" s="7" t="s">
        <v>19</v>
      </c>
      <c r="B8" s="7" t="s">
        <v>20</v>
      </c>
      <c r="C8" s="7">
        <v>5</v>
      </c>
      <c r="D8" s="7" t="s">
        <v>21</v>
      </c>
      <c r="E8" s="7" t="s">
        <v>15</v>
      </c>
      <c r="F8" s="7" t="s">
        <v>16</v>
      </c>
      <c r="G8" s="7" t="s">
        <v>17</v>
      </c>
      <c r="H8" s="7" t="s">
        <v>22</v>
      </c>
    </row>
    <row r="9" spans="1:8" ht="57" x14ac:dyDescent="0.45">
      <c r="A9" s="7" t="s">
        <v>23</v>
      </c>
      <c r="B9" s="7" t="s">
        <v>24</v>
      </c>
      <c r="C9" s="7">
        <v>8</v>
      </c>
      <c r="D9" s="7" t="s">
        <v>25</v>
      </c>
      <c r="E9" s="7" t="s">
        <v>15</v>
      </c>
      <c r="F9" s="7" t="s">
        <v>16</v>
      </c>
      <c r="G9" s="7" t="s">
        <v>17</v>
      </c>
      <c r="H9" s="7" t="s">
        <v>26</v>
      </c>
    </row>
    <row r="10" spans="1:8" ht="42.75" x14ac:dyDescent="0.45">
      <c r="A10" s="7" t="s">
        <v>27</v>
      </c>
      <c r="B10" s="7" t="s">
        <v>28</v>
      </c>
      <c r="C10" s="7">
        <v>5</v>
      </c>
      <c r="D10" s="7" t="s">
        <v>29</v>
      </c>
      <c r="E10" s="7" t="s">
        <v>15</v>
      </c>
      <c r="F10" s="7" t="s">
        <v>16</v>
      </c>
      <c r="G10" s="7" t="s">
        <v>17</v>
      </c>
      <c r="H10" s="7" t="s">
        <v>30</v>
      </c>
    </row>
    <row r="11" spans="1:8" ht="57" x14ac:dyDescent="0.45">
      <c r="A11" s="7" t="s">
        <v>31</v>
      </c>
      <c r="B11" s="7" t="s">
        <v>32</v>
      </c>
      <c r="C11" s="7">
        <v>5</v>
      </c>
      <c r="D11" s="7" t="s">
        <v>21</v>
      </c>
      <c r="E11" s="7" t="s">
        <v>15</v>
      </c>
      <c r="F11" s="7" t="s">
        <v>33</v>
      </c>
      <c r="G11" s="7" t="s">
        <v>17</v>
      </c>
      <c r="H11" s="7" t="s">
        <v>34</v>
      </c>
    </row>
    <row r="12" spans="1:8" ht="42.75" x14ac:dyDescent="0.45">
      <c r="A12" s="7" t="s">
        <v>35</v>
      </c>
      <c r="B12" s="7" t="s">
        <v>36</v>
      </c>
      <c r="C12" s="7">
        <v>8</v>
      </c>
      <c r="D12" s="7" t="s">
        <v>25</v>
      </c>
      <c r="E12" s="7" t="s">
        <v>15</v>
      </c>
      <c r="F12" s="7" t="s">
        <v>33</v>
      </c>
      <c r="G12" s="7" t="s">
        <v>17</v>
      </c>
      <c r="H12" s="7" t="s">
        <v>37</v>
      </c>
    </row>
    <row r="13" spans="1:8" ht="42.75" x14ac:dyDescent="0.45">
      <c r="A13" s="7" t="s">
        <v>38</v>
      </c>
      <c r="B13" s="7" t="s">
        <v>39</v>
      </c>
      <c r="C13" s="7">
        <v>8</v>
      </c>
      <c r="D13" s="7" t="s">
        <v>40</v>
      </c>
      <c r="E13" s="7" t="s">
        <v>15</v>
      </c>
      <c r="F13" s="7" t="s">
        <v>33</v>
      </c>
      <c r="G13" s="7" t="s">
        <v>17</v>
      </c>
      <c r="H13" s="7" t="s">
        <v>41</v>
      </c>
    </row>
    <row r="14" spans="1:8" ht="57" x14ac:dyDescent="0.45">
      <c r="A14" s="7" t="s">
        <v>42</v>
      </c>
      <c r="B14" s="7" t="s">
        <v>43</v>
      </c>
      <c r="C14" s="7">
        <v>5</v>
      </c>
      <c r="D14" s="7" t="s">
        <v>40</v>
      </c>
      <c r="E14" s="7" t="s">
        <v>15</v>
      </c>
      <c r="F14" s="7" t="s">
        <v>33</v>
      </c>
      <c r="G14" s="7" t="s">
        <v>17</v>
      </c>
      <c r="H14" s="7" t="s">
        <v>44</v>
      </c>
    </row>
    <row r="15" spans="1:8" ht="57" x14ac:dyDescent="0.45">
      <c r="A15" s="7" t="s">
        <v>45</v>
      </c>
      <c r="B15" s="7" t="s">
        <v>46</v>
      </c>
      <c r="C15" s="7">
        <v>8</v>
      </c>
      <c r="D15" s="7" t="s">
        <v>14</v>
      </c>
      <c r="E15" s="7" t="s">
        <v>15</v>
      </c>
      <c r="F15" s="7" t="s">
        <v>47</v>
      </c>
      <c r="G15" s="7" t="s">
        <v>17</v>
      </c>
      <c r="H15" s="7" t="s">
        <v>48</v>
      </c>
    </row>
    <row r="16" spans="1:8" ht="42.75" x14ac:dyDescent="0.45">
      <c r="A16" s="7" t="s">
        <v>49</v>
      </c>
      <c r="B16" s="7" t="s">
        <v>50</v>
      </c>
      <c r="C16" s="7">
        <v>3</v>
      </c>
      <c r="D16" s="7" t="s">
        <v>40</v>
      </c>
      <c r="E16" s="7" t="s">
        <v>15</v>
      </c>
      <c r="F16" s="7" t="s">
        <v>47</v>
      </c>
      <c r="G16" s="7" t="s">
        <v>17</v>
      </c>
      <c r="H16" s="7" t="s">
        <v>51</v>
      </c>
    </row>
    <row r="17" spans="1:8" ht="57" x14ac:dyDescent="0.45">
      <c r="A17" s="7" t="s">
        <v>52</v>
      </c>
      <c r="B17" s="7" t="s">
        <v>53</v>
      </c>
      <c r="C17" s="7">
        <v>5</v>
      </c>
      <c r="D17" s="7" t="s">
        <v>40</v>
      </c>
      <c r="E17" s="7" t="s">
        <v>15</v>
      </c>
      <c r="F17" s="7" t="s">
        <v>47</v>
      </c>
      <c r="G17" s="7" t="s">
        <v>17</v>
      </c>
      <c r="H17" s="7" t="s">
        <v>54</v>
      </c>
    </row>
    <row r="18" spans="1:8" ht="42.75" x14ac:dyDescent="0.45">
      <c r="A18" s="7" t="s">
        <v>55</v>
      </c>
      <c r="B18" s="7" t="s">
        <v>56</v>
      </c>
      <c r="C18" s="7">
        <v>5</v>
      </c>
      <c r="D18" s="7" t="s">
        <v>57</v>
      </c>
      <c r="E18" s="7" t="s">
        <v>15</v>
      </c>
      <c r="F18" s="7" t="s">
        <v>47</v>
      </c>
      <c r="G18" s="7" t="s">
        <v>17</v>
      </c>
      <c r="H18" s="7" t="s">
        <v>58</v>
      </c>
    </row>
    <row r="19" spans="1:8" ht="42.75" x14ac:dyDescent="0.45">
      <c r="A19" s="7" t="s">
        <v>59</v>
      </c>
      <c r="B19" s="7" t="s">
        <v>60</v>
      </c>
      <c r="C19" s="7">
        <v>5</v>
      </c>
      <c r="D19" s="7" t="s">
        <v>57</v>
      </c>
      <c r="E19" s="7" t="s">
        <v>15</v>
      </c>
      <c r="F19" s="7" t="s">
        <v>47</v>
      </c>
      <c r="G19" s="7" t="s">
        <v>17</v>
      </c>
      <c r="H19" s="7" t="s">
        <v>61</v>
      </c>
    </row>
    <row r="20" spans="1:8" ht="57" x14ac:dyDescent="0.45">
      <c r="A20" s="7" t="s">
        <v>62</v>
      </c>
      <c r="B20" s="7" t="s">
        <v>63</v>
      </c>
      <c r="C20" s="7">
        <v>5</v>
      </c>
      <c r="D20" s="7" t="s">
        <v>29</v>
      </c>
      <c r="E20" s="7" t="s">
        <v>15</v>
      </c>
      <c r="F20" s="7" t="s">
        <v>64</v>
      </c>
      <c r="G20" s="7" t="s">
        <v>17</v>
      </c>
      <c r="H20" s="7" t="s">
        <v>65</v>
      </c>
    </row>
    <row r="21" spans="1:8" ht="42.75" x14ac:dyDescent="0.45">
      <c r="A21" s="7" t="s">
        <v>66</v>
      </c>
      <c r="B21" s="7" t="s">
        <v>67</v>
      </c>
      <c r="C21" s="7">
        <v>3</v>
      </c>
      <c r="D21" s="7" t="s">
        <v>29</v>
      </c>
      <c r="E21" s="7" t="s">
        <v>15</v>
      </c>
      <c r="F21" s="7" t="s">
        <v>64</v>
      </c>
      <c r="G21" s="7" t="s">
        <v>17</v>
      </c>
      <c r="H21" s="7" t="s">
        <v>68</v>
      </c>
    </row>
    <row r="22" spans="1:8" ht="42.75" x14ac:dyDescent="0.45">
      <c r="A22" s="7" t="s">
        <v>69</v>
      </c>
      <c r="B22" s="7" t="s">
        <v>70</v>
      </c>
      <c r="C22" s="7">
        <v>2</v>
      </c>
      <c r="D22" s="7" t="s">
        <v>57</v>
      </c>
      <c r="E22" s="7" t="s">
        <v>15</v>
      </c>
      <c r="F22" s="7" t="s">
        <v>64</v>
      </c>
      <c r="G22" s="7" t="s">
        <v>17</v>
      </c>
      <c r="H22" s="7" t="s">
        <v>71</v>
      </c>
    </row>
    <row r="23" spans="1:8" ht="42.75" x14ac:dyDescent="0.45">
      <c r="A23" s="7" t="s">
        <v>72</v>
      </c>
      <c r="B23" s="7" t="s">
        <v>73</v>
      </c>
      <c r="C23" s="7">
        <v>8</v>
      </c>
      <c r="D23" s="7" t="s">
        <v>74</v>
      </c>
      <c r="E23" s="7" t="s">
        <v>75</v>
      </c>
      <c r="F23" s="7" t="s">
        <v>76</v>
      </c>
      <c r="G23" s="7" t="s">
        <v>17</v>
      </c>
      <c r="H23" s="7" t="s">
        <v>77</v>
      </c>
    </row>
    <row r="24" spans="1:8" ht="42.75" x14ac:dyDescent="0.45">
      <c r="A24" s="7" t="s">
        <v>78</v>
      </c>
      <c r="B24" s="7" t="s">
        <v>79</v>
      </c>
      <c r="C24" s="7">
        <v>3</v>
      </c>
      <c r="D24" s="7" t="s">
        <v>21</v>
      </c>
      <c r="E24" s="7" t="s">
        <v>75</v>
      </c>
      <c r="F24" s="7" t="s">
        <v>76</v>
      </c>
      <c r="G24" s="7" t="s">
        <v>17</v>
      </c>
      <c r="H24" s="7" t="s">
        <v>80</v>
      </c>
    </row>
    <row r="25" spans="1:8" ht="57" x14ac:dyDescent="0.45">
      <c r="A25" s="7" t="s">
        <v>81</v>
      </c>
      <c r="B25" s="7" t="s">
        <v>82</v>
      </c>
      <c r="C25" s="7">
        <v>8</v>
      </c>
      <c r="D25" s="7" t="s">
        <v>83</v>
      </c>
      <c r="E25" s="7" t="s">
        <v>75</v>
      </c>
      <c r="F25" s="7" t="s">
        <v>76</v>
      </c>
      <c r="G25" s="7" t="s">
        <v>17</v>
      </c>
      <c r="H25" s="7" t="s">
        <v>84</v>
      </c>
    </row>
    <row r="26" spans="1:8" ht="42.75" x14ac:dyDescent="0.45">
      <c r="A26" s="7" t="s">
        <v>85</v>
      </c>
      <c r="B26" s="7" t="s">
        <v>86</v>
      </c>
      <c r="C26" s="7">
        <v>5</v>
      </c>
      <c r="D26" s="7" t="s">
        <v>21</v>
      </c>
      <c r="E26" s="7" t="s">
        <v>75</v>
      </c>
      <c r="F26" s="7" t="s">
        <v>76</v>
      </c>
      <c r="G26" s="7" t="s">
        <v>17</v>
      </c>
      <c r="H26" s="7" t="s">
        <v>87</v>
      </c>
    </row>
    <row r="27" spans="1:8" ht="42.75" x14ac:dyDescent="0.45">
      <c r="A27" s="7" t="s">
        <v>88</v>
      </c>
      <c r="B27" s="7" t="s">
        <v>89</v>
      </c>
      <c r="C27" s="7">
        <v>5</v>
      </c>
      <c r="D27" s="7" t="s">
        <v>74</v>
      </c>
      <c r="E27" s="7" t="s">
        <v>75</v>
      </c>
      <c r="F27" s="7" t="s">
        <v>76</v>
      </c>
      <c r="G27" s="7" t="s">
        <v>17</v>
      </c>
      <c r="H27" s="7" t="s">
        <v>90</v>
      </c>
    </row>
    <row r="28" spans="1:8" ht="42.75" x14ac:dyDescent="0.45">
      <c r="A28" s="7" t="s">
        <v>91</v>
      </c>
      <c r="B28" s="7" t="s">
        <v>92</v>
      </c>
      <c r="C28" s="7">
        <v>5</v>
      </c>
      <c r="D28" s="7" t="s">
        <v>74</v>
      </c>
      <c r="E28" s="7" t="s">
        <v>75</v>
      </c>
      <c r="F28" s="7" t="s">
        <v>76</v>
      </c>
      <c r="G28" s="7" t="s">
        <v>17</v>
      </c>
      <c r="H28" s="7" t="s">
        <v>93</v>
      </c>
    </row>
    <row r="29" spans="1:8" ht="42.75" x14ac:dyDescent="0.45">
      <c r="A29" s="8" t="s">
        <v>94</v>
      </c>
      <c r="B29" s="8" t="s">
        <v>95</v>
      </c>
      <c r="C29" s="8">
        <v>3</v>
      </c>
      <c r="D29" s="7" t="s">
        <v>29</v>
      </c>
      <c r="E29" s="7" t="s">
        <v>75</v>
      </c>
      <c r="F29" s="7" t="s">
        <v>76</v>
      </c>
      <c r="G29" s="7" t="s">
        <v>17</v>
      </c>
      <c r="H29" s="7" t="s">
        <v>96</v>
      </c>
    </row>
    <row r="30" spans="1:8" ht="42.75" x14ac:dyDescent="0.45">
      <c r="A30" s="8" t="s">
        <v>97</v>
      </c>
      <c r="B30" s="8" t="s">
        <v>98</v>
      </c>
      <c r="C30" s="8">
        <v>5</v>
      </c>
      <c r="D30" s="7" t="s">
        <v>83</v>
      </c>
      <c r="E30" s="7" t="s">
        <v>75</v>
      </c>
      <c r="F30" s="7" t="s">
        <v>76</v>
      </c>
      <c r="G30" s="7" t="s">
        <v>17</v>
      </c>
      <c r="H30" s="7" t="s">
        <v>99</v>
      </c>
    </row>
    <row r="31" spans="1:8" ht="42.75" x14ac:dyDescent="0.45">
      <c r="A31" s="8" t="s">
        <v>100</v>
      </c>
      <c r="B31" s="8" t="s">
        <v>101</v>
      </c>
      <c r="C31" s="8">
        <v>13</v>
      </c>
      <c r="D31" s="7" t="s">
        <v>74</v>
      </c>
      <c r="E31" s="7" t="s">
        <v>102</v>
      </c>
      <c r="F31" s="7" t="s">
        <v>103</v>
      </c>
      <c r="G31" s="7" t="s">
        <v>17</v>
      </c>
      <c r="H31" s="7" t="s">
        <v>104</v>
      </c>
    </row>
    <row r="32" spans="1:8" ht="42.75" x14ac:dyDescent="0.45">
      <c r="A32" s="8" t="s">
        <v>105</v>
      </c>
      <c r="B32" s="8" t="s">
        <v>106</v>
      </c>
      <c r="C32" s="8">
        <v>13</v>
      </c>
      <c r="D32" s="7" t="s">
        <v>74</v>
      </c>
      <c r="E32" s="7" t="s">
        <v>102</v>
      </c>
      <c r="F32" s="7" t="s">
        <v>103</v>
      </c>
      <c r="G32" s="7" t="s">
        <v>17</v>
      </c>
      <c r="H32" s="7" t="s">
        <v>107</v>
      </c>
    </row>
    <row r="33" spans="1:8" ht="42.75" x14ac:dyDescent="0.45">
      <c r="A33" s="8" t="s">
        <v>108</v>
      </c>
      <c r="B33" s="8" t="s">
        <v>109</v>
      </c>
      <c r="C33" s="8">
        <v>8</v>
      </c>
      <c r="D33" s="7" t="s">
        <v>74</v>
      </c>
      <c r="E33" s="7" t="s">
        <v>102</v>
      </c>
      <c r="F33" s="7" t="s">
        <v>103</v>
      </c>
      <c r="G33" s="7" t="s">
        <v>17</v>
      </c>
      <c r="H33" s="7" t="s">
        <v>110</v>
      </c>
    </row>
    <row r="34" spans="1:8" ht="42.75" x14ac:dyDescent="0.45">
      <c r="A34" s="8" t="s">
        <v>111</v>
      </c>
      <c r="B34" s="8" t="s">
        <v>112</v>
      </c>
      <c r="C34" s="8">
        <v>5</v>
      </c>
      <c r="D34" s="7" t="s">
        <v>113</v>
      </c>
      <c r="E34" s="7" t="s">
        <v>114</v>
      </c>
      <c r="F34" s="7" t="s">
        <v>115</v>
      </c>
      <c r="G34" s="7" t="s">
        <v>17</v>
      </c>
      <c r="H34" s="7" t="s">
        <v>116</v>
      </c>
    </row>
    <row r="35" spans="1:8" ht="42.75" x14ac:dyDescent="0.45">
      <c r="A35" s="8" t="s">
        <v>117</v>
      </c>
      <c r="B35" s="8" t="s">
        <v>118</v>
      </c>
      <c r="C35" s="8">
        <v>13</v>
      </c>
      <c r="D35" s="7" t="s">
        <v>113</v>
      </c>
      <c r="E35" s="7" t="s">
        <v>114</v>
      </c>
      <c r="F35" s="7" t="s">
        <v>115</v>
      </c>
      <c r="G35" s="7" t="s">
        <v>17</v>
      </c>
      <c r="H35" s="7" t="s">
        <v>119</v>
      </c>
    </row>
    <row r="36" spans="1:8" ht="42.75" x14ac:dyDescent="0.45">
      <c r="A36" s="8" t="s">
        <v>120</v>
      </c>
      <c r="B36" s="8" t="s">
        <v>121</v>
      </c>
      <c r="C36" s="8">
        <v>13</v>
      </c>
      <c r="D36" s="7" t="s">
        <v>113</v>
      </c>
      <c r="E36" s="7" t="s">
        <v>114</v>
      </c>
      <c r="F36" s="7" t="s">
        <v>115</v>
      </c>
      <c r="G36" s="7" t="s">
        <v>17</v>
      </c>
      <c r="H36" s="7" t="s">
        <v>122</v>
      </c>
    </row>
    <row r="37" spans="1:8" ht="57" x14ac:dyDescent="0.45">
      <c r="A37" s="8" t="s">
        <v>123</v>
      </c>
      <c r="B37" s="8" t="s">
        <v>124</v>
      </c>
      <c r="C37" s="8">
        <v>13</v>
      </c>
      <c r="D37" s="7" t="s">
        <v>113</v>
      </c>
      <c r="E37" s="7" t="s">
        <v>114</v>
      </c>
      <c r="F37" s="7" t="s">
        <v>115</v>
      </c>
      <c r="G37" s="7" t="s">
        <v>17</v>
      </c>
      <c r="H37" s="7" t="s">
        <v>125</v>
      </c>
    </row>
    <row r="38" spans="1:8" ht="42.75" x14ac:dyDescent="0.45">
      <c r="A38" s="8" t="s">
        <v>126</v>
      </c>
      <c r="B38" s="8" t="s">
        <v>127</v>
      </c>
      <c r="C38" s="8">
        <v>13</v>
      </c>
      <c r="D38" s="7" t="s">
        <v>113</v>
      </c>
      <c r="E38" s="7" t="s">
        <v>114</v>
      </c>
      <c r="F38" s="7" t="s">
        <v>115</v>
      </c>
      <c r="G38" s="7" t="s">
        <v>17</v>
      </c>
      <c r="H38" s="7" t="s">
        <v>128</v>
      </c>
    </row>
    <row r="39" spans="1:8" ht="42.75" x14ac:dyDescent="0.45">
      <c r="A39" s="8" t="s">
        <v>129</v>
      </c>
      <c r="B39" s="8" t="s">
        <v>130</v>
      </c>
      <c r="C39" s="8">
        <v>5</v>
      </c>
      <c r="D39" s="7" t="s">
        <v>113</v>
      </c>
      <c r="E39" s="7" t="s">
        <v>114</v>
      </c>
      <c r="F39" s="7" t="s">
        <v>115</v>
      </c>
      <c r="G39" s="7" t="s">
        <v>17</v>
      </c>
      <c r="H39" s="7" t="s">
        <v>131</v>
      </c>
    </row>
    <row r="41" spans="1:8" x14ac:dyDescent="0.45">
      <c r="A41" s="9" t="s">
        <v>132</v>
      </c>
      <c r="B41">
        <f>SUMIF(E7:E39,"Must",C7:C39)</f>
        <v>88</v>
      </c>
    </row>
    <row r="42" spans="1:8" x14ac:dyDescent="0.45">
      <c r="A42" s="9" t="s">
        <v>133</v>
      </c>
      <c r="B42">
        <f>SUMIF(E7:E39,"Should",C7:C39)</f>
        <v>42</v>
      </c>
    </row>
    <row r="43" spans="1:8" x14ac:dyDescent="0.45">
      <c r="A43" s="9" t="s">
        <v>134</v>
      </c>
      <c r="B43">
        <f>SUMIF(E7:E39,"Could",C7:C39)</f>
        <v>34</v>
      </c>
    </row>
    <row r="44" spans="1:8" x14ac:dyDescent="0.45">
      <c r="A44" s="9" t="s">
        <v>135</v>
      </c>
      <c r="B44">
        <f>SUMIF(E7:E39,"Won't",C7:C39)</f>
        <v>62</v>
      </c>
    </row>
    <row r="45" spans="1:8" x14ac:dyDescent="0.45">
      <c r="A45" s="9" t="s">
        <v>136</v>
      </c>
      <c r="B45">
        <v>26</v>
      </c>
    </row>
    <row r="46" spans="1:8" x14ac:dyDescent="0.45">
      <c r="A46" s="9" t="s">
        <v>137</v>
      </c>
      <c r="B46">
        <f>ROUNDUP(B41/B45,0)</f>
        <v>4</v>
      </c>
    </row>
    <row r="48" spans="1:8" x14ac:dyDescent="0.45">
      <c r="A48" s="10" t="s">
        <v>138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Product_Backlog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Rodrigo Galaz Silva</dc:creator>
  <cp:lastModifiedBy>JORGE . CEBALLOS SEGURA</cp:lastModifiedBy>
  <dcterms:created xsi:type="dcterms:W3CDTF">2018-02-12T12:05:26Z</dcterms:created>
  <dcterms:modified xsi:type="dcterms:W3CDTF">2026-10-14T13:50:20Z</dcterms:modified>
</cp:coreProperties>
</file>